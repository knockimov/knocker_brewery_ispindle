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ThisWorkbook"/>
  <xr:revisionPtr revIDLastSave="0" documentId="12_ncr:500000_{4A51466E-FE6C-41D4-AB26-61509153E0A8}" xr6:coauthVersionLast="31" xr6:coauthVersionMax="31" xr10:uidLastSave="{00000000-0000-0000-0000-000000000000}"/>
  <bookViews>
    <workbookView xWindow="0" yWindow="0" windowWidth="13932" windowHeight="7452" xr2:uid="{00000000-000D-0000-FFFF-FFFF00000000}"/>
  </bookViews>
  <sheets>
    <sheet name="Kalibrierung" sheetId="1" r:id="rId1"/>
  </sheets>
  <definedNames>
    <definedName name="Measured_°Plato">Kalibrierung!#REF!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C8" i="1"/>
  <c r="C9" i="1"/>
  <c r="C10" i="1"/>
  <c r="C11" i="1"/>
  <c r="C4" i="1" l="1"/>
  <c r="C5" i="1"/>
  <c r="C6" i="1"/>
  <c r="C7" i="1"/>
</calcChain>
</file>

<file path=xl/sharedStrings.xml><?xml version="1.0" encoding="utf-8"?>
<sst xmlns="http://schemas.openxmlformats.org/spreadsheetml/2006/main" count="8" uniqueCount="8">
  <si>
    <t/>
  </si>
  <si>
    <t>Plato Formel:</t>
  </si>
  <si>
    <t>Measured °Plato</t>
  </si>
  <si>
    <t>Deviation °</t>
  </si>
  <si>
    <t>Measured Angle (°)</t>
  </si>
  <si>
    <t>Measured SG</t>
  </si>
  <si>
    <t>Calibration of the iSpindel</t>
  </si>
  <si>
    <t>0.004461909*tilt^2 - 0.063583024*tilt - 1.252533981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</si>
</sst>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 \°\P"/>
    <numFmt numFmtId="165" formatCode="0.0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 textRotation="45" wrapText="1"/>
    </xf>
    <xf numFmtId="0" fontId="0" fillId="0" borderId="0" xfId="0" quotePrefix="1"/>
    <xf numFmtId="164" fontId="0" fillId="0" borderId="0" xfId="0" applyNumberFormat="1" applyProtection="1"/>
    <xf numFmtId="165" fontId="0" fillId="0" borderId="0" xfId="0" applyNumberFormat="1"/>
    <xf numFmtId="0" fontId="2" fillId="0" borderId="0" xfId="0" applyFont="1" applyAlignment="1"/>
    <xf numFmtId="0" fontId="2" fillId="0" borderId="0" xfId="0" applyFont="1" applyAlignment="1">
      <alignment horizontal="right"/>
    </xf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4">
    <dxf>
      <numFmt numFmtId="164" formatCode="0.00\ \°\P"/>
      <protection locked="1" hidden="0"/>
    </dxf>
    <dxf>
      <numFmt numFmtId="0" formatCode="General"/>
    </dxf>
    <dxf>
      <numFmt numFmtId="165" formatCode="0.0000"/>
    </dxf>
    <dxf>
      <alignment horizontal="general" vertical="center" textRotation="45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Kalibrierung!$C$3</c:f>
              <c:strCache>
                <c:ptCount val="1"/>
                <c:pt idx="0">
                  <c:v>Measured °Plato</c:v>
                </c:pt>
              </c:strCache>
            </c:strRef>
          </c:tx>
          <c:spPr>
            <a:ln>
              <a:noFill/>
            </a:ln>
          </c:spPr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9.3608923884514431E-2"/>
                  <c:y val="-4.3227774098331166E-2"/>
                </c:manualLayout>
              </c:layout>
              <c:numFmt formatCode="@" sourceLinked="0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sv-SE"/>
                </a:p>
              </c:txPr>
            </c:trendlineLbl>
          </c:trendline>
          <c:trendline>
            <c:trendlineType val="poly"/>
            <c:order val="2"/>
            <c:dispRSqr val="0"/>
            <c:dispEq val="0"/>
          </c:trendline>
          <c:xVal>
            <c:numRef>
              <c:f>Kalibrierung!$A$4:$A$22</c:f>
              <c:numCache>
                <c:formatCode>General</c:formatCode>
                <c:ptCount val="19"/>
                <c:pt idx="0">
                  <c:v>26.67</c:v>
                </c:pt>
                <c:pt idx="1">
                  <c:v>35.68</c:v>
                </c:pt>
                <c:pt idx="2">
                  <c:v>45.82</c:v>
                </c:pt>
                <c:pt idx="3">
                  <c:v>51.43</c:v>
                </c:pt>
                <c:pt idx="4">
                  <c:v>59.05</c:v>
                </c:pt>
                <c:pt idx="5">
                  <c:v>64.44</c:v>
                </c:pt>
                <c:pt idx="6">
                  <c:v>68.489999999999995</c:v>
                </c:pt>
                <c:pt idx="7">
                  <c:v>71.239999999999995</c:v>
                </c:pt>
              </c:numCache>
            </c:numRef>
          </c:xVal>
          <c:yVal>
            <c:numRef>
              <c:f>Kalibrierung!$C$4:$C$22</c:f>
              <c:numCache>
                <c:formatCode>General</c:formatCode>
                <c:ptCount val="19"/>
                <c:pt idx="0">
                  <c:v>-2.9999999999859028E-3</c:v>
                </c:pt>
                <c:pt idx="1">
                  <c:v>2.3063773808129042</c:v>
                </c:pt>
                <c:pt idx="2">
                  <c:v>5.5797780920560172</c:v>
                </c:pt>
                <c:pt idx="3">
                  <c:v>7.5582290190000947</c:v>
                </c:pt>
                <c:pt idx="4">
                  <c:v>10.234785688237025</c:v>
                </c:pt>
                <c:pt idx="5">
                  <c:v>12.387647125000029</c:v>
                </c:pt>
                <c:pt idx="6">
                  <c:v>14.974568134057023</c:v>
                </c:pt>
                <c:pt idx="7">
                  <c:v>17.742220695948987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0C-4370-89DE-CC0624F10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26816"/>
        <c:axId val="100628736"/>
      </c:scatterChart>
      <c:valAx>
        <c:axId val="1006268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Angle 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sv-SE"/>
          </a:p>
        </c:txPr>
        <c:crossAx val="100628736"/>
        <c:crosses val="autoZero"/>
        <c:crossBetween val="midCat"/>
      </c:valAx>
      <c:valAx>
        <c:axId val="100628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°Plato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sv-SE"/>
          </a:p>
        </c:txPr>
        <c:crossAx val="100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1</xdr:row>
      <xdr:rowOff>23812</xdr:rowOff>
    </xdr:from>
    <xdr:to>
      <xdr:col>14</xdr:col>
      <xdr:colOff>28575</xdr:colOff>
      <xdr:row>26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23</xdr:row>
          <xdr:rowOff>22860</xdr:rowOff>
        </xdr:from>
        <xdr:to>
          <xdr:col>3</xdr:col>
          <xdr:colOff>38100</xdr:colOff>
          <xdr:row>25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 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D22" totalsRowShown="0" headerRowDxfId="3">
  <autoFilter ref="A3:D22" xr:uid="{00000000-0009-0000-0100-000001000000}"/>
  <tableColumns count="4">
    <tableColumn id="1" xr3:uid="{00000000-0010-0000-0000-000001000000}" name="Measured Angle (°)"/>
    <tableColumn id="4" xr3:uid="{642608B4-33FD-4985-9B98-6C3A29C760B2}" name="Measured SG" dataDxfId="2"/>
    <tableColumn id="2" xr3:uid="{00000000-0010-0000-0000-000002000000}" name="Measured °Plato" dataDxfId="1">
      <calculatedColumnFormula>(-1*616.868)+(1111.14*Kalibrierung!B4)-(630.272*Kalibrierung!B4^2)+(135.997*Kalibrierung!B4^3)</calculatedColumnFormula>
    </tableColumn>
    <tableColumn id="3" xr3:uid="{00000000-0010-0000-0000-000003000000}" name="Deviation °" dataDxfId="0">
      <calculatedColumnFormula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3"/>
  <sheetViews>
    <sheetView tabSelected="1" topLeftCell="F1" workbookViewId="0">
      <selection activeCell="H1" sqref="H1:N1"/>
    </sheetView>
  </sheetViews>
  <sheetFormatPr defaultColWidth="11.44140625" defaultRowHeight="14.4" x14ac:dyDescent="0.3"/>
  <cols>
    <col min="1" max="1" width="11.44140625" bestFit="1" customWidth="1"/>
    <col min="2" max="2" width="11.44140625" customWidth="1"/>
    <col min="3" max="3" width="11.44140625" bestFit="1" customWidth="1"/>
  </cols>
  <sheetData>
    <row r="1" spans="1:14" ht="19.8" x14ac:dyDescent="0.4">
      <c r="A1" s="8" t="s">
        <v>6</v>
      </c>
      <c r="B1" s="8"/>
      <c r="C1" s="8"/>
      <c r="D1" s="8"/>
      <c r="E1" s="5"/>
      <c r="F1" s="6" t="s">
        <v>1</v>
      </c>
      <c r="G1" s="6"/>
      <c r="H1" s="7" t="s">
        <v>7</v>
      </c>
      <c r="I1" s="7"/>
      <c r="J1" s="7"/>
      <c r="K1" s="7"/>
      <c r="L1" s="7"/>
      <c r="M1" s="7"/>
      <c r="N1" s="7"/>
    </row>
    <row r="3" spans="1:14" ht="54.75" customHeight="1" x14ac:dyDescent="0.3">
      <c r="A3" s="1" t="s">
        <v>4</v>
      </c>
      <c r="B3" s="1" t="s">
        <v>5</v>
      </c>
      <c r="C3" s="1" t="s">
        <v>2</v>
      </c>
      <c r="D3" s="1" t="s">
        <v>3</v>
      </c>
    </row>
    <row r="4" spans="1:14" x14ac:dyDescent="0.3">
      <c r="A4">
        <v>26.67</v>
      </c>
      <c r="B4" s="4">
        <v>1</v>
      </c>
      <c r="C4">
        <f>(-1*616.868)+(1111.14*Kalibrierung!B4)-(630.272*Kalibrierung!B4^2)+(135.997*Kalibrierung!B4^3)</f>
        <v>-2.9999999999859028E-3</v>
      </c>
      <c r="D4" s="3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>-0.22841311343008641</v>
      </c>
    </row>
    <row r="5" spans="1:14" x14ac:dyDescent="0.3">
      <c r="A5">
        <v>35.68</v>
      </c>
      <c r="B5" s="4">
        <v>1.0089999999999999</v>
      </c>
      <c r="C5">
        <f>(-1*616.868)+(1111.14*Kalibrierung!B5)-(630.272*Kalibrierung!B5^2)+(135.997*Kalibrierung!B5^3)</f>
        <v>2.3063773808129042</v>
      </c>
      <c r="D5" s="3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>0.14726507801130362</v>
      </c>
    </row>
    <row r="6" spans="1:14" x14ac:dyDescent="0.3">
      <c r="A6">
        <v>45.82</v>
      </c>
      <c r="B6" s="4">
        <v>1.022</v>
      </c>
      <c r="C6">
        <f>(-1*616.868)+(1111.14*Kalibrierung!B6)-(630.272*Kalibrierung!B6^2)+(135.997*Kalibrierung!B6^3)</f>
        <v>5.5797780920560172</v>
      </c>
      <c r="D6" s="3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>0.37803143592441746</v>
      </c>
    </row>
    <row r="7" spans="1:14" x14ac:dyDescent="0.3">
      <c r="A7">
        <v>51.43</v>
      </c>
      <c r="B7" s="4">
        <v>1.03</v>
      </c>
      <c r="C7">
        <f>(-1*616.868)+(1111.14*Kalibrierung!B7)-(630.272*Kalibrierung!B7^2)+(135.997*Kalibrierung!B7^3)</f>
        <v>7.5582290190000947</v>
      </c>
      <c r="D7" s="3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>0.2788882796059946</v>
      </c>
    </row>
    <row r="8" spans="1:14" x14ac:dyDescent="0.3">
      <c r="A8">
        <v>59.05</v>
      </c>
      <c r="B8" s="4">
        <v>1.0409999999999999</v>
      </c>
      <c r="C8">
        <f>(-1*616.868)+(1111.14*Kalibrierung!B8)-(630.272*Kalibrierung!B8^2)+(135.997*Kalibrierung!B8^3)</f>
        <v>10.234785688237025</v>
      </c>
      <c r="D8" s="3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>-0.31634441043547312</v>
      </c>
    </row>
    <row r="9" spans="1:14" x14ac:dyDescent="0.3">
      <c r="A9">
        <v>64.44</v>
      </c>
      <c r="B9" s="4">
        <v>1.05</v>
      </c>
      <c r="C9">
        <f>(-1*616.868)+(1111.14*Kalibrierung!B9)-(630.272*Kalibrierung!B9^2)+(135.997*Kalibrierung!B9^3)</f>
        <v>12.387647125000029</v>
      </c>
      <c r="D9" s="3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>-0.79066663190236852</v>
      </c>
    </row>
    <row r="10" spans="1:14" x14ac:dyDescent="0.3">
      <c r="A10">
        <v>68.489999999999995</v>
      </c>
      <c r="B10" s="4">
        <v>1.0609999999999999</v>
      </c>
      <c r="C10">
        <f>(-1*616.868)+(1111.14*Kalibrierung!B10)-(630.272*Kalibrierung!B10^2)+(135.997*Kalibrierung!B10^3)</f>
        <v>14.974568134057023</v>
      </c>
      <c r="D10" s="3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>-0.34837670729387327</v>
      </c>
    </row>
    <row r="11" spans="1:14" x14ac:dyDescent="0.3">
      <c r="A11">
        <v>71.239999999999995</v>
      </c>
      <c r="B11" s="4">
        <v>1.073</v>
      </c>
      <c r="C11">
        <f>(-1*616.868)+(1111.14*Kalibrierung!B11)-(630.272*Kalibrierung!B11^2)+(135.997*Kalibrierung!B11^3)</f>
        <v>17.742220695948987</v>
      </c>
      <c r="D11" s="3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>0.879607173030589</v>
      </c>
    </row>
    <row r="12" spans="1:14" x14ac:dyDescent="0.3">
      <c r="B12" s="4"/>
      <c r="D12" s="3" t="str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/>
      </c>
    </row>
    <row r="13" spans="1:14" x14ac:dyDescent="0.3">
      <c r="B13" s="4"/>
      <c r="D13" s="3" t="str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/>
      </c>
    </row>
    <row r="14" spans="1:14" x14ac:dyDescent="0.3">
      <c r="B14" s="4"/>
      <c r="D14" s="3" t="str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/>
      </c>
    </row>
    <row r="15" spans="1:14" x14ac:dyDescent="0.3">
      <c r="B15" s="4"/>
      <c r="D15" s="3" t="str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/>
      </c>
    </row>
    <row r="16" spans="1:14" x14ac:dyDescent="0.3">
      <c r="B16" s="4"/>
      <c r="D16" s="3" t="str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/>
      </c>
    </row>
    <row r="17" spans="2:4" x14ac:dyDescent="0.3">
      <c r="B17" s="4"/>
      <c r="D17" s="3" t="str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/>
      </c>
    </row>
    <row r="18" spans="2:4" x14ac:dyDescent="0.3">
      <c r="B18" s="4"/>
      <c r="D18" s="3" t="str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/>
      </c>
    </row>
    <row r="19" spans="2:4" x14ac:dyDescent="0.3">
      <c r="B19" s="4"/>
      <c r="D19" s="3" t="str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/>
      </c>
    </row>
    <row r="20" spans="2:4" x14ac:dyDescent="0.3">
      <c r="B20" s="4"/>
      <c r="D20" s="3" t="str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/>
      </c>
    </row>
    <row r="21" spans="2:4" x14ac:dyDescent="0.3">
      <c r="B21" s="4"/>
      <c r="D21" s="3" t="str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/>
      </c>
    </row>
    <row r="22" spans="2:4" x14ac:dyDescent="0.3">
      <c r="B22" s="4"/>
      <c r="D22" s="3" t="str">
        <f xml:space="preserve"> IF( Table1[[#This Row],[Measured SG]] &lt;&gt;  "", Table1[[#This Row],[Measured °Plato]] - ( 0.004461909 * Table1[[#This Row],[Measured Angle (°)]] * Table1[[#This Row],[Measured Angle (°)]]  - 0.063583024 * Table1[[#This Row],[Measured Angle (°)]] - 1.252533981 ),"")</f>
        <v/>
      </c>
    </row>
    <row r="23" spans="2:4" x14ac:dyDescent="0.3">
      <c r="D23" s="2" t="s">
        <v>0</v>
      </c>
    </row>
  </sheetData>
  <mergeCells count="3">
    <mergeCell ref="F1:G1"/>
    <mergeCell ref="H1:N1"/>
    <mergeCell ref="A1:D1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rendlinieInZelle">
                <anchor moveWithCells="1">
                  <from>
                    <xdr:col>0</xdr:col>
                    <xdr:colOff>754380</xdr:colOff>
                    <xdr:row>23</xdr:row>
                    <xdr:rowOff>22860</xdr:rowOff>
                  </from>
                  <to>
                    <xdr:col>3</xdr:col>
                    <xdr:colOff>38100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</vt:i4>
      </vt:variant>
    </vt:vector>
  </HeadingPairs>
  <TitlesOfParts>
    <vt:vector size="1" baseType="lpstr">
      <vt:lpstr>Kalibrierung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2016-11-29T09:38:19Z</dcterms:created>
  <dcterms:modified xsi:type="dcterms:W3CDTF">2018-04-19T19:40:27Z</dcterms:modified>
</cp:coreProperties>
</file>